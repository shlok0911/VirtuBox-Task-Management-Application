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lok\Downloads\"/>
    </mc:Choice>
  </mc:AlternateContent>
  <xr:revisionPtr revIDLastSave="0" documentId="13_ncr:1_{29199E2F-2B33-4967-84BB-7CEC7191A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est Cases" sheetId="2" r:id="rId2"/>
    <sheet name="Bug Risks" sheetId="3" r:id="rId3"/>
  </sheets>
  <definedNames>
    <definedName name="_xlnm._FilterDatabase" localSheetId="2" hidden="1">'Bug Risks'!$A$1:$E$11</definedName>
    <definedName name="_xlnm._FilterDatabase" localSheetId="1" hidden="1">'Test Cases'!$A$1:$I$46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D15" i="1"/>
  <c r="C15" i="1"/>
  <c r="B15" i="1"/>
  <c r="D14" i="1"/>
  <c r="C14" i="1"/>
  <c r="B14" i="1"/>
  <c r="E14" i="1" s="1"/>
  <c r="D13" i="1"/>
  <c r="C13" i="1"/>
  <c r="B13" i="1"/>
  <c r="E13" i="1" s="1"/>
  <c r="D12" i="1"/>
  <c r="C12" i="1"/>
  <c r="B12" i="1"/>
  <c r="D11" i="1"/>
  <c r="C11" i="1"/>
  <c r="B11" i="1"/>
  <c r="D10" i="1"/>
  <c r="C10" i="1"/>
  <c r="B10" i="1"/>
  <c r="D9" i="1"/>
  <c r="D16" i="1" s="1"/>
  <c r="C9" i="1"/>
  <c r="C16" i="1" s="1"/>
  <c r="B9" i="1"/>
  <c r="E11" i="1" l="1"/>
  <c r="E15" i="1"/>
  <c r="E10" i="1"/>
  <c r="E12" i="1"/>
  <c r="B16" i="1"/>
  <c r="E9" i="1"/>
  <c r="E16" i="1" s="1"/>
</calcChain>
</file>

<file path=xl/sharedStrings.xml><?xml version="1.0" encoding="utf-8"?>
<sst xmlns="http://schemas.openxmlformats.org/spreadsheetml/2006/main" count="540" uniqueCount="309">
  <si>
    <t>Scope</t>
  </si>
  <si>
    <t>Test Case Summary</t>
  </si>
  <si>
    <t>Module</t>
  </si>
  <si>
    <t>Positive</t>
  </si>
  <si>
    <t>Negative</t>
  </si>
  <si>
    <t>Edge</t>
  </si>
  <si>
    <t>Total</t>
  </si>
  <si>
    <t>Registration</t>
  </si>
  <si>
    <t>Login</t>
  </si>
  <si>
    <t>Create Task</t>
  </si>
  <si>
    <t>View Task List</t>
  </si>
  <si>
    <t>Edit Task</t>
  </si>
  <si>
    <t>Delete Task</t>
  </si>
  <si>
    <t>Validation &amp; Error Handling</t>
  </si>
  <si>
    <t>TOTAL</t>
  </si>
  <si>
    <t>Bug/Risk Summary</t>
  </si>
  <si>
    <t>Severity</t>
  </si>
  <si>
    <t>Count</t>
  </si>
  <si>
    <t>Critical</t>
  </si>
  <si>
    <t>Major</t>
  </si>
  <si>
    <t>Minor</t>
  </si>
  <si>
    <t>Design Approach</t>
  </si>
  <si>
    <t>• Positive cases verify successful behavior; negative cases verify rejection and validation; edge cases cover boundaries or unusual but realistic behavior.</t>
  </si>
  <si>
    <t>• Bug risks are potential risks, not confirmed defects, because the application was not executed.</t>
  </si>
  <si>
    <t>Test Case ID</t>
  </si>
  <si>
    <t>Test Scenario</t>
  </si>
  <si>
    <t>Precondition</t>
  </si>
  <si>
    <t>Test Steps</t>
  </si>
  <si>
    <t>Test Data</t>
  </si>
  <si>
    <t>Expected Result</t>
  </si>
  <si>
    <t>Test Type</t>
  </si>
  <si>
    <t>Priority</t>
  </si>
  <si>
    <t>Register with valid details</t>
  </si>
  <si>
    <t>Registration page is accessible</t>
  </si>
  <si>
    <t>Enter valid name, unique email and valid password; click Register</t>
  </si>
  <si>
    <t>Valid unique user details</t>
  </si>
  <si>
    <t>Account is created successfully and expected success/next-step response is displayed</t>
  </si>
  <si>
    <t>High</t>
  </si>
  <si>
    <t>Submit with all required fields empty</t>
  </si>
  <si>
    <t>Leave all fields blank; click Register</t>
  </si>
  <si>
    <t>Blank fields</t>
  </si>
  <si>
    <t>Required-field validation is displayed and account is not created</t>
  </si>
  <si>
    <t>Submit with name empty</t>
  </si>
  <si>
    <t>Enter valid email/password; leave name blank; submit</t>
  </si>
  <si>
    <t>Name blank</t>
  </si>
  <si>
    <t>Name validation is displayed and registration is blocked</t>
  </si>
  <si>
    <t>Medium</t>
  </si>
  <si>
    <t>Submit with email empty</t>
  </si>
  <si>
    <t>Enter valid name/password; leave email blank; submit</t>
  </si>
  <si>
    <t>Email blank</t>
  </si>
  <si>
    <t>Email validation is displayed and registration is blocked</t>
  </si>
  <si>
    <t>Submit with password empty</t>
  </si>
  <si>
    <t>Enter valid name/email; leave password blank; submit</t>
  </si>
  <si>
    <t>Password blank</t>
  </si>
  <si>
    <t>Password validation is displayed and registration is blocked</t>
  </si>
  <si>
    <t>Register using an existing email</t>
  </si>
  <si>
    <t>A registered user already exists</t>
  </si>
  <si>
    <t>Enter valid details using an existing email; submit</t>
  </si>
  <si>
    <t>Existing email</t>
  </si>
  <si>
    <t>Duplicate account is prevented and a clear error is displayed</t>
  </si>
  <si>
    <t>Enter invalid email format</t>
  </si>
  <si>
    <t>Enter malformed email such as abc@; submit</t>
  </si>
  <si>
    <t>abc@</t>
  </si>
  <si>
    <t>Enter spaces only in a required field</t>
  </si>
  <si>
    <t>Enter spaces in a required field; submit</t>
  </si>
  <si>
    <t>'   '</t>
  </si>
  <si>
    <t>Spaces-only input is not accepted as valid data</t>
  </si>
  <si>
    <t>Test password at configured minimum length</t>
  </si>
  <si>
    <t>Password rule is configured</t>
  </si>
  <si>
    <t>Enter password exactly at configured minimum length; submit</t>
  </si>
  <si>
    <t>Boundary-length password</t>
  </si>
  <si>
    <t>Registration succeeds if all other requirements are valid</t>
  </si>
  <si>
    <t>Login with valid credentials</t>
  </si>
  <si>
    <t>A registered user exists</t>
  </si>
  <si>
    <t>Enter correct email/password; click Login</t>
  </si>
  <si>
    <t>Valid credentials</t>
  </si>
  <si>
    <t>User is authenticated and taken to the logged-in area/task list</t>
  </si>
  <si>
    <t>Login with incorrect password</t>
  </si>
  <si>
    <t>Enter correct email and wrong password</t>
  </si>
  <si>
    <t>Correct email + wrong password</t>
  </si>
  <si>
    <t>Login fails and an appropriate error is displayed</t>
  </si>
  <si>
    <t>Login with unregistered email</t>
  </si>
  <si>
    <t>No account exists for the email</t>
  </si>
  <si>
    <t>Enter unregistered email and password; submit</t>
  </si>
  <si>
    <t>Unregistered email</t>
  </si>
  <si>
    <t>Login fails with an appropriate error</t>
  </si>
  <si>
    <t>Login page is accessible</t>
  </si>
  <si>
    <t>Leave email blank; enter password; submit</t>
  </si>
  <si>
    <t>Email required-field validation is displayed</t>
  </si>
  <si>
    <t>Enter email; leave password blank; submit</t>
  </si>
  <si>
    <t>Password required-field validation is displayed</t>
  </si>
  <si>
    <t>Submit with both fields empty</t>
  </si>
  <si>
    <t>Leave both fields blank; submit</t>
  </si>
  <si>
    <t>Required-field validations are displayed and login is blocked</t>
  </si>
  <si>
    <t>Use invalid email format</t>
  </si>
  <si>
    <t>Enter malformed email and password; submit</t>
  </si>
  <si>
    <t>Email validation is displayed or request is safely rejected</t>
  </si>
  <si>
    <t>Access task list without logging in</t>
  </si>
  <si>
    <t>User is logged out</t>
  </si>
  <si>
    <t>Navigate directly to the protected task-list page</t>
  </si>
  <si>
    <t>Unauthenticated request</t>
  </si>
  <si>
    <t>Access is denied or user is redirected to login</t>
  </si>
  <si>
    <t>Use Back button after logout</t>
  </si>
  <si>
    <t>User has logged in and then logged out</t>
  </si>
  <si>
    <t>Logout and use browser Back to return to protected page</t>
  </si>
  <si>
    <t>Logged-out session</t>
  </si>
  <si>
    <t>Protected task data is not accessible</t>
  </si>
  <si>
    <t>Create task with valid data</t>
  </si>
  <si>
    <t>User is logged in</t>
  </si>
  <si>
    <t>Enter valid task data; click Create/Save</t>
  </si>
  <si>
    <t>Valid task</t>
  </si>
  <si>
    <t>Task is created and appears in the task list</t>
  </si>
  <si>
    <t>Create task with required field empty</t>
  </si>
  <si>
    <t>Leave a required task field blank; submit</t>
  </si>
  <si>
    <t>Blank required field</t>
  </si>
  <si>
    <t>Validation is displayed and invalid task is not stored</t>
  </si>
  <si>
    <t>Create task with spaces only</t>
  </si>
  <si>
    <t>Enter spaces in a required task field; submit</t>
  </si>
  <si>
    <t>Spaces-only value is rejected or handled according to validation rules</t>
  </si>
  <si>
    <t>Create task with very long content</t>
  </si>
  <si>
    <t>Enter content above supported maximum; save</t>
  </si>
  <si>
    <t>Very long task content</t>
  </si>
  <si>
    <t>Input is safely limited/rejected without application failure</t>
  </si>
  <si>
    <t>Create multiple tasks</t>
  </si>
  <si>
    <t>Create several valid tasks sequentially</t>
  </si>
  <si>
    <t>Task A, Task B, Task C</t>
  </si>
  <si>
    <t>All intended tasks are stored and displayed correctly</t>
  </si>
  <si>
    <t>Refresh after creating a task</t>
  </si>
  <si>
    <t>A task has just been created</t>
  </si>
  <si>
    <t>Refresh the task list</t>
  </si>
  <si>
    <t>Created task</t>
  </si>
  <si>
    <t>Created task remains visible, confirming persistence</t>
  </si>
  <si>
    <t>View tasks after login</t>
  </si>
  <si>
    <t>User is logged in and has tasks</t>
  </si>
  <si>
    <t>Open task list</t>
  </si>
  <si>
    <t>Existing tasks</t>
  </si>
  <si>
    <t>Correct tasks for the logged-in user are displayed</t>
  </si>
  <si>
    <t>View task list when no tasks exist</t>
  </si>
  <si>
    <t>User is logged in with no tasks</t>
  </si>
  <si>
    <t>No task records</t>
  </si>
  <si>
    <t>Clear empty-state message is displayed</t>
  </si>
  <si>
    <t>Verify multiple tasks are displayed</t>
  </si>
  <si>
    <t>User has multiple tasks</t>
  </si>
  <si>
    <t>Several task records</t>
  </si>
  <si>
    <t>All expected tasks are displayed without missing/duplicate records</t>
  </si>
  <si>
    <t>Attempt to view another user's task</t>
  </si>
  <si>
    <t>Two users exist</t>
  </si>
  <si>
    <t>Attempt to access another user's task identifier</t>
  </si>
  <si>
    <t>Other user's task ID</t>
  </si>
  <si>
    <t>Unauthorized task data is not displayed</t>
  </si>
  <si>
    <t>Handle task-list loading failure</t>
  </si>
  <si>
    <t>User is logged in; backend failure is assumed</t>
  </si>
  <si>
    <t>Open task list while data service is unavailable</t>
  </si>
  <si>
    <t>Backend failure</t>
  </si>
  <si>
    <t>Meaningful error is shown and the application does not crash</t>
  </si>
  <si>
    <t>Edit existing task with valid data</t>
  </si>
  <si>
    <t>User is logged in and task exists</t>
  </si>
  <si>
    <t>Open task; modify valid fields; save</t>
  </si>
  <si>
    <t>Updated task data</t>
  </si>
  <si>
    <t>Task is updated successfully</t>
  </si>
  <si>
    <t>Verify edited task after refresh</t>
  </si>
  <si>
    <t>Task was successfully edited</t>
  </si>
  <si>
    <t>Refresh task list</t>
  </si>
  <si>
    <t>Updated task</t>
  </si>
  <si>
    <t>Updated values remain after refresh</t>
  </si>
  <si>
    <t>Clear required field during edit</t>
  </si>
  <si>
    <t>Task exists</t>
  </si>
  <si>
    <t>Edit task; clear required field; save</t>
  </si>
  <si>
    <t>Validation is displayed and invalid update is not stored</t>
  </si>
  <si>
    <t>Cancel editing</t>
  </si>
  <si>
    <t>Open edit; make changes; cancel</t>
  </si>
  <si>
    <t>Modified unsaved values</t>
  </si>
  <si>
    <t>Original task remains unchanged</t>
  </si>
  <si>
    <t>Attempt to edit another user's task</t>
  </si>
  <si>
    <t>Attempt to modify another user's task using its identifier</t>
  </si>
  <si>
    <t>Unauthorized update is rejected</t>
  </si>
  <si>
    <t>Delete an existing task</t>
  </si>
  <si>
    <t>Click Delete; confirm deletion if prompted</t>
  </si>
  <si>
    <t>Existing task</t>
  </si>
  <si>
    <t>Task is removed from the list and database</t>
  </si>
  <si>
    <t>Cancel deletion</t>
  </si>
  <si>
    <t>Click Delete; cancel confirmation</t>
  </si>
  <si>
    <t>Task remains unchanged</t>
  </si>
  <si>
    <t>Negative/Edge</t>
  </si>
  <si>
    <t>Verify deletion after refresh</t>
  </si>
  <si>
    <t>Task was deleted</t>
  </si>
  <si>
    <t>Deleted task</t>
  </si>
  <si>
    <t>Deleted task does not reappear</t>
  </si>
  <si>
    <t>Attempt to delete another user's task</t>
  </si>
  <si>
    <t>Attempt deletion using another user's task identifier</t>
  </si>
  <si>
    <t>Unauthorized deletion is rejected</t>
  </si>
  <si>
    <t>Delete the last remaining task</t>
  </si>
  <si>
    <t>User has exactly one task</t>
  </si>
  <si>
    <t>Delete the task</t>
  </si>
  <si>
    <t>Last task</t>
  </si>
  <si>
    <t>Task is removed and appropriate empty-state is displayed</t>
  </si>
  <si>
    <t>Reject empty required fields</t>
  </si>
  <si>
    <t>A relevant form is available</t>
  </si>
  <si>
    <t>Submit form with required fields empty</t>
  </si>
  <si>
    <t>Blank input</t>
  </si>
  <si>
    <t>Clear field-level validation is shown</t>
  </si>
  <si>
    <t>Reject whitespace-only input</t>
  </si>
  <si>
    <t>Enter only spaces in a required field</t>
  </si>
  <si>
    <t>Whitespace-only value is not accepted</t>
  </si>
  <si>
    <t>Handle oversized input</t>
  </si>
  <si>
    <t>Enter input larger than supported limit</t>
  </si>
  <si>
    <t>Very large string</t>
  </si>
  <si>
    <t>Application safely rejects/limits input without crashing</t>
  </si>
  <si>
    <t>Handle special/script-like input safely</t>
  </si>
  <si>
    <t>A relevant text field is available</t>
  </si>
  <si>
    <t>Enter special/script-like characters</t>
  </si>
  <si>
    <t>Special/script-like input</t>
  </si>
  <si>
    <t>Input is treated as data and is not executed</t>
  </si>
  <si>
    <t>Handle database/server failure during task operation</t>
  </si>
  <si>
    <t>Perform create/update/delete while persistence service is unavailable</t>
  </si>
  <si>
    <t>Meaningful error is shown and UI does not falsely report success</t>
  </si>
  <si>
    <t>Handle expired/invalid session</t>
  </si>
  <si>
    <t>User was previously authenticated</t>
  </si>
  <si>
    <t>Attempt a protected task operation after session expiry</t>
  </si>
  <si>
    <t>Invalid/expired session</t>
  </si>
  <si>
    <t>Access is denied and user is redirected/requested to authenticate</t>
  </si>
  <si>
    <t>Bug/Risk ID</t>
  </si>
  <si>
    <t>Area</t>
  </si>
  <si>
    <t>Potential Bug / Risk</t>
  </si>
  <si>
    <t>Reason / Impact</t>
  </si>
  <si>
    <t>Authorization</t>
  </si>
  <si>
    <t>Logged-in user may be able to view another user's tasks</t>
  </si>
  <si>
    <t>Task data is sensitive user-owned information. Unauthorized access is a serious privacy/security failure.</t>
  </si>
  <si>
    <t>User may be able to edit another user's task by changing the task ID</t>
  </si>
  <si>
    <t>Missing server-side ownership checks could allow unauthorized modification of data.</t>
  </si>
  <si>
    <t>User may be able to delete another user's task</t>
  </si>
  <si>
    <t>Unauthorized deletion can cause permanent data loss for another user.</t>
  </si>
  <si>
    <t>Authentication/Security</t>
  </si>
  <si>
    <t>Passwords may not be securely hashed before storage</t>
  </si>
  <si>
    <t>If credentials are stored insecurely, a database compromise could expose user passwords and accounts.</t>
  </si>
  <si>
    <t>Data Integrity</t>
  </si>
  <si>
    <t>Repeated clicks on Create may create duplicate tasks</t>
  </si>
  <si>
    <t>Duplicate records reduce data quality and indicate missing idempotency/debouncing or server-side safeguards.</t>
  </si>
  <si>
    <t>UI may show success even when database persistence fails</t>
  </si>
  <si>
    <t>This can create a mismatch between what the user sees and what is actually stored.</t>
  </si>
  <si>
    <t>Session Security</t>
  </si>
  <si>
    <t>Protected task data may remain accessible after logout via browser Back/cache</t>
  </si>
  <si>
    <t>A logged-out user should not be able to access protected application data.</t>
  </si>
  <si>
    <t>Input Validation/Security</t>
  </si>
  <si>
    <t>Malicious or script-like input may be accepted and rendered unsafely</t>
  </si>
  <si>
    <t>Unsafe handling can create injection/XSS risks and corrupt displayed data.</t>
  </si>
  <si>
    <t>Reliability</t>
  </si>
  <si>
    <t>Database/server failure may cause an unhandled application error</t>
  </si>
  <si>
    <t>Production users need graceful failure and meaningful feedback rather than crashes.</t>
  </si>
  <si>
    <t>Performance</t>
  </si>
  <si>
    <t>Large task lists may cause slow loading or UI instability</t>
  </si>
  <si>
    <t>Poor handling of large datasets can degrade usability and may become a production scalability issue.</t>
  </si>
  <si>
    <t>Task Management Application</t>
  </si>
  <si>
    <t>Some Test cases which are essential to check before deploying the application as these depicts the core functionality, validation, useful edge cases, persistence, basic security/authorization, and error handling.</t>
  </si>
  <si>
    <t>BUG-RISK-01</t>
  </si>
  <si>
    <t>BUG-RISK-02</t>
  </si>
  <si>
    <t>BUG-RISK-03</t>
  </si>
  <si>
    <t>BUG-RISK-04</t>
  </si>
  <si>
    <t>BUG-RISK-05</t>
  </si>
  <si>
    <t>BUG-RISK-06</t>
  </si>
  <si>
    <t>BUG-RISK-07</t>
  </si>
  <si>
    <t>BUG-RISK-08</t>
  </si>
  <si>
    <t>BUG-RISK-09</t>
  </si>
  <si>
    <t>BUG-RISK-10</t>
  </si>
  <si>
    <t>REG-01</t>
  </si>
  <si>
    <t>REG-02</t>
  </si>
  <si>
    <t>REG-03</t>
  </si>
  <si>
    <t>REG-04</t>
  </si>
  <si>
    <t>REG-05</t>
  </si>
  <si>
    <t>REG-06</t>
  </si>
  <si>
    <t>REG-07</t>
  </si>
  <si>
    <t>REG-08</t>
  </si>
  <si>
    <t>REG-09</t>
  </si>
  <si>
    <t>LOGIN-01</t>
  </si>
  <si>
    <t>LOGIN-02</t>
  </si>
  <si>
    <t>LOGIN-03</t>
  </si>
  <si>
    <t>LOGIN-04</t>
  </si>
  <si>
    <t>LOGIN-05</t>
  </si>
  <si>
    <t>LOGIN-06</t>
  </si>
  <si>
    <t>LOGIN-07</t>
  </si>
  <si>
    <t>LOGIN-08</t>
  </si>
  <si>
    <t>LOGIN-09</t>
  </si>
  <si>
    <t>TASK-Create-01</t>
  </si>
  <si>
    <t>TASK-Create-02</t>
  </si>
  <si>
    <t>TASK-Create-03</t>
  </si>
  <si>
    <t>TASK-Create-04</t>
  </si>
  <si>
    <t>TASK-Create-05</t>
  </si>
  <si>
    <t>TASK-Create-06</t>
  </si>
  <si>
    <t>TASK-Read-01</t>
  </si>
  <si>
    <t>TASK-Read-02</t>
  </si>
  <si>
    <t>TASK-Read-03</t>
  </si>
  <si>
    <t>TASK-Read-04</t>
  </si>
  <si>
    <t>TASK-Read-05</t>
  </si>
  <si>
    <t>TASK-Update-01</t>
  </si>
  <si>
    <t>TASK-Update-02</t>
  </si>
  <si>
    <t>TASK-Update-03</t>
  </si>
  <si>
    <t>TASK-Update-04</t>
  </si>
  <si>
    <t>TASK-Update-05</t>
  </si>
  <si>
    <t>TASK-Delete-01</t>
  </si>
  <si>
    <t>TASK-Delete-02</t>
  </si>
  <si>
    <t>TASK-Delete-03</t>
  </si>
  <si>
    <t>TASK-Delete-04</t>
  </si>
  <si>
    <t>TASK-Delete-05</t>
  </si>
  <si>
    <t>VAL-01</t>
  </si>
  <si>
    <t>VAL-02</t>
  </si>
  <si>
    <t>VAL-03</t>
  </si>
  <si>
    <t>VAL-04</t>
  </si>
  <si>
    <t>VAL-05</t>
  </si>
  <si>
    <t>VAL-06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</si>
</sst>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3" fillId="5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top" wrapText="1"/>
    </xf>
    <xf numFmtId="0" fontId="1" fillId="4" borderId="0" xfId="0" applyFont="1" applyFill="1"/>
  </cellXfs>
  <cellStyles count="1">
    <cellStyle name="Normal" xfId="0" builtinId="0"/>
  </cellStyles>
  <dxfs count="7"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workbookViewId="0">
      <selection activeCell="A18" sqref="A18"/>
    </sheetView>
  </sheetViews>
  <sheetFormatPr defaultRowHeight="14.4" x14ac:dyDescent="0.3"/>
  <cols>
    <col min="1" max="1" width="36" customWidth="1"/>
    <col min="2" max="7" width="16" customWidth="1"/>
  </cols>
  <sheetData>
    <row r="1" spans="1:7" ht="23.4" x14ac:dyDescent="0.3">
      <c r="A1" s="8" t="s">
        <v>252</v>
      </c>
      <c r="B1" s="9"/>
      <c r="C1" s="9"/>
      <c r="D1" s="9"/>
      <c r="E1" s="9"/>
      <c r="F1" s="9"/>
      <c r="G1" s="9"/>
    </row>
    <row r="3" spans="1:7" x14ac:dyDescent="0.3">
      <c r="A3" s="11" t="s">
        <v>0</v>
      </c>
      <c r="B3" s="9"/>
      <c r="C3" s="9"/>
      <c r="D3" s="9"/>
      <c r="E3" s="9"/>
      <c r="F3" s="9"/>
      <c r="G3" s="9"/>
    </row>
    <row r="4" spans="1:7" x14ac:dyDescent="0.3">
      <c r="A4" s="10" t="s">
        <v>253</v>
      </c>
      <c r="B4" s="9"/>
      <c r="C4" s="9"/>
      <c r="D4" s="9"/>
      <c r="E4" s="9"/>
      <c r="F4" s="9"/>
      <c r="G4" s="9"/>
    </row>
    <row r="5" spans="1:7" x14ac:dyDescent="0.3">
      <c r="A5" s="9"/>
      <c r="B5" s="9"/>
      <c r="C5" s="9"/>
      <c r="D5" s="9"/>
      <c r="E5" s="9"/>
      <c r="F5" s="9"/>
      <c r="G5" s="9"/>
    </row>
    <row r="7" spans="1:7" x14ac:dyDescent="0.3">
      <c r="A7" s="11" t="s">
        <v>1</v>
      </c>
      <c r="B7" s="9"/>
      <c r="C7" s="9"/>
      <c r="D7" s="9"/>
      <c r="E7" s="9"/>
      <c r="F7" s="9"/>
      <c r="G7" s="9"/>
    </row>
    <row r="8" spans="1:7" x14ac:dyDescent="0.3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</row>
    <row r="9" spans="1:7" x14ac:dyDescent="0.3">
      <c r="A9" s="2" t="s">
        <v>7</v>
      </c>
      <c r="B9" s="2">
        <f>COUNTIFS('Test Cases'!$B:$B,A9,'Test Cases'!$H:$H,"Positive")</f>
        <v>1</v>
      </c>
      <c r="C9" s="2">
        <f>COUNTIFS('Test Cases'!$B:$B,A9,'Test Cases'!$H:$H,"Negative")</f>
        <v>7</v>
      </c>
      <c r="D9" s="2">
        <f>COUNTIFS('Test Cases'!$B:$B,A9,'Test Cases'!$H:$H,"Edge")</f>
        <v>1</v>
      </c>
      <c r="E9" s="2">
        <f t="shared" ref="E9:E15" si="0">SUM(B9:D9)</f>
        <v>9</v>
      </c>
    </row>
    <row r="10" spans="1:7" x14ac:dyDescent="0.3">
      <c r="A10" s="2" t="s">
        <v>8</v>
      </c>
      <c r="B10" s="2">
        <f>COUNTIFS('Test Cases'!$B:$B,A10,'Test Cases'!$H:$H,"Positive")</f>
        <v>1</v>
      </c>
      <c r="C10" s="2">
        <f>COUNTIFS('Test Cases'!$B:$B,A10,'Test Cases'!$H:$H,"Negative")</f>
        <v>8</v>
      </c>
      <c r="D10" s="2">
        <f>COUNTIFS('Test Cases'!$B:$B,A10,'Test Cases'!$H:$H,"Edge")</f>
        <v>0</v>
      </c>
      <c r="E10" s="2">
        <f t="shared" si="0"/>
        <v>9</v>
      </c>
    </row>
    <row r="11" spans="1:7" x14ac:dyDescent="0.3">
      <c r="A11" s="2" t="s">
        <v>9</v>
      </c>
      <c r="B11" s="2">
        <f>COUNTIFS('Test Cases'!$B:$B,A11,'Test Cases'!$H:$H,"Positive")</f>
        <v>3</v>
      </c>
      <c r="C11" s="2">
        <f>COUNTIFS('Test Cases'!$B:$B,A11,'Test Cases'!$H:$H,"Negative")</f>
        <v>2</v>
      </c>
      <c r="D11" s="2">
        <f>COUNTIFS('Test Cases'!$B:$B,A11,'Test Cases'!$H:$H,"Edge")</f>
        <v>1</v>
      </c>
      <c r="E11" s="2">
        <f t="shared" si="0"/>
        <v>6</v>
      </c>
    </row>
    <row r="12" spans="1:7" x14ac:dyDescent="0.3">
      <c r="A12" s="2" t="s">
        <v>10</v>
      </c>
      <c r="B12" s="2">
        <f>COUNTIFS('Test Cases'!$B:$B,A12,'Test Cases'!$H:$H,"Positive")</f>
        <v>2</v>
      </c>
      <c r="C12" s="2">
        <f>COUNTIFS('Test Cases'!$B:$B,A12,'Test Cases'!$H:$H,"Negative")</f>
        <v>2</v>
      </c>
      <c r="D12" s="2">
        <f>COUNTIFS('Test Cases'!$B:$B,A12,'Test Cases'!$H:$H,"Edge")</f>
        <v>1</v>
      </c>
      <c r="E12" s="2">
        <f t="shared" si="0"/>
        <v>5</v>
      </c>
    </row>
    <row r="13" spans="1:7" x14ac:dyDescent="0.3">
      <c r="A13" s="2" t="s">
        <v>11</v>
      </c>
      <c r="B13" s="2">
        <f>COUNTIFS('Test Cases'!$B:$B,A13,'Test Cases'!$H:$H,"Positive")</f>
        <v>3</v>
      </c>
      <c r="C13" s="2">
        <f>COUNTIFS('Test Cases'!$B:$B,A13,'Test Cases'!$H:$H,"Negative")</f>
        <v>2</v>
      </c>
      <c r="D13" s="2">
        <f>COUNTIFS('Test Cases'!$B:$B,A13,'Test Cases'!$H:$H,"Edge")</f>
        <v>0</v>
      </c>
      <c r="E13" s="2">
        <f t="shared" si="0"/>
        <v>5</v>
      </c>
    </row>
    <row r="14" spans="1:7" x14ac:dyDescent="0.3">
      <c r="A14" s="2" t="s">
        <v>12</v>
      </c>
      <c r="B14" s="2">
        <f>COUNTIFS('Test Cases'!$B:$B,A14,'Test Cases'!$H:$H,"Positive")</f>
        <v>2</v>
      </c>
      <c r="C14" s="2">
        <f>COUNTIFS('Test Cases'!$B:$B,A14,'Test Cases'!$H:$H,"Negative")</f>
        <v>1</v>
      </c>
      <c r="D14" s="2">
        <f>COUNTIFS('Test Cases'!$B:$B,A14,'Test Cases'!$H:$H,"Edge")</f>
        <v>1</v>
      </c>
      <c r="E14" s="2">
        <f t="shared" si="0"/>
        <v>4</v>
      </c>
    </row>
    <row r="15" spans="1:7" x14ac:dyDescent="0.3">
      <c r="A15" s="2" t="s">
        <v>13</v>
      </c>
      <c r="B15" s="2">
        <f>COUNTIFS('Test Cases'!$B:$B,A15,'Test Cases'!$H:$H,"Positive")</f>
        <v>0</v>
      </c>
      <c r="C15" s="2">
        <f>COUNTIFS('Test Cases'!$B:$B,A15,'Test Cases'!$H:$H,"Negative")</f>
        <v>5</v>
      </c>
      <c r="D15" s="2">
        <f>COUNTIFS('Test Cases'!$B:$B,A15,'Test Cases'!$H:$H,"Edge")</f>
        <v>1</v>
      </c>
      <c r="E15" s="2">
        <f t="shared" si="0"/>
        <v>6</v>
      </c>
    </row>
    <row r="16" spans="1:7" x14ac:dyDescent="0.3">
      <c r="A16" s="3" t="s">
        <v>14</v>
      </c>
      <c r="B16" s="3">
        <f>SUM(B9:B15)</f>
        <v>12</v>
      </c>
      <c r="C16" s="3">
        <f>SUM(C9:C15)</f>
        <v>27</v>
      </c>
      <c r="D16" s="3">
        <f>SUM(D9:D15)</f>
        <v>5</v>
      </c>
      <c r="E16" s="3">
        <f>SUM(E9:E15)</f>
        <v>44</v>
      </c>
    </row>
    <row r="19" spans="1:7" x14ac:dyDescent="0.3">
      <c r="A19" s="11" t="s">
        <v>15</v>
      </c>
      <c r="B19" s="9"/>
      <c r="C19" s="9"/>
      <c r="D19" s="9"/>
      <c r="E19" s="9"/>
      <c r="F19" s="9"/>
      <c r="G19" s="9"/>
    </row>
    <row r="20" spans="1:7" x14ac:dyDescent="0.3">
      <c r="A20" s="1" t="s">
        <v>16</v>
      </c>
      <c r="B20" s="1" t="s">
        <v>17</v>
      </c>
    </row>
    <row r="21" spans="1:7" x14ac:dyDescent="0.3">
      <c r="A21" s="4" t="s">
        <v>18</v>
      </c>
      <c r="B21" s="4">
        <f>COUNTIF('Bug Risks'!$D:$D,A21)</f>
        <v>4</v>
      </c>
    </row>
    <row r="22" spans="1:7" x14ac:dyDescent="0.3">
      <c r="A22" s="4" t="s">
        <v>19</v>
      </c>
      <c r="B22" s="4">
        <f>COUNTIF('Bug Risks'!$D:$D,A22)</f>
        <v>5</v>
      </c>
    </row>
    <row r="23" spans="1:7" x14ac:dyDescent="0.3">
      <c r="A23" s="4" t="s">
        <v>20</v>
      </c>
      <c r="B23" s="4">
        <f>COUNTIF('Bug Risks'!$D:$D,A23)</f>
        <v>1</v>
      </c>
    </row>
    <row r="25" spans="1:7" x14ac:dyDescent="0.3">
      <c r="A25" s="11" t="s">
        <v>21</v>
      </c>
      <c r="B25" s="9"/>
      <c r="C25" s="9"/>
      <c r="D25" s="9"/>
      <c r="E25" s="9"/>
      <c r="F25" s="9"/>
      <c r="G25" s="9"/>
    </row>
    <row r="26" spans="1:7" ht="14.4" customHeight="1" x14ac:dyDescent="0.3">
      <c r="A26" s="10" t="s">
        <v>22</v>
      </c>
      <c r="B26" s="9"/>
      <c r="C26" s="9"/>
      <c r="D26" s="9"/>
      <c r="E26" s="9"/>
      <c r="F26" s="9"/>
      <c r="G26" s="9"/>
    </row>
    <row r="27" spans="1:7" ht="18" customHeight="1" x14ac:dyDescent="0.3">
      <c r="A27" s="10" t="s">
        <v>23</v>
      </c>
      <c r="B27" s="9"/>
      <c r="C27" s="9"/>
      <c r="D27" s="9"/>
      <c r="E27" s="9"/>
      <c r="F27" s="9"/>
      <c r="G27" s="9"/>
    </row>
  </sheetData>
  <mergeCells count="8">
    <mergeCell ref="A27:G27"/>
    <mergeCell ref="A7:G7"/>
    <mergeCell ref="A25:G25"/>
    <mergeCell ref="A19:G19"/>
    <mergeCell ref="A1:G1"/>
    <mergeCell ref="A26:G26"/>
    <mergeCell ref="A3:G3"/>
    <mergeCell ref="A4:G5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showGridLines="0" zoomScale="80" workbookViewId="0">
      <pane ySplit="1" topLeftCell="A2" activePane="bottomLeft" state="frozen"/>
      <selection pane="bottomLeft" activeCell="B49" sqref="B49"/>
    </sheetView>
  </sheetViews>
  <sheetFormatPr defaultRowHeight="14.4" x14ac:dyDescent="0.3"/>
  <cols>
    <col min="1" max="1" width="15" customWidth="1"/>
    <col min="2" max="2" width="24" customWidth="1"/>
    <col min="3" max="3" width="38" customWidth="1"/>
    <col min="4" max="4" width="34" customWidth="1"/>
    <col min="5" max="5" width="48" customWidth="1"/>
    <col min="6" max="6" width="28" customWidth="1"/>
    <col min="7" max="7" width="55" customWidth="1"/>
    <col min="8" max="8" width="18" customWidth="1"/>
    <col min="9" max="9" width="12" customWidth="1"/>
  </cols>
  <sheetData>
    <row r="1" spans="1:9" ht="31.95" customHeight="1" x14ac:dyDescent="0.3">
      <c r="A1" s="5" t="s">
        <v>24</v>
      </c>
      <c r="B1" s="5" t="s">
        <v>2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</row>
    <row r="2" spans="1:9" ht="28.8" x14ac:dyDescent="0.3">
      <c r="A2" s="6" t="s">
        <v>264</v>
      </c>
      <c r="B2" s="6" t="s">
        <v>7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</v>
      </c>
      <c r="I2" s="6" t="s">
        <v>37</v>
      </c>
    </row>
    <row r="3" spans="1:9" x14ac:dyDescent="0.3">
      <c r="A3" s="7" t="s">
        <v>265</v>
      </c>
      <c r="B3" s="7" t="s">
        <v>7</v>
      </c>
      <c r="C3" s="7" t="s">
        <v>38</v>
      </c>
      <c r="D3" s="7" t="s">
        <v>33</v>
      </c>
      <c r="E3" s="7" t="s">
        <v>39</v>
      </c>
      <c r="F3" s="7" t="s">
        <v>40</v>
      </c>
      <c r="G3" s="7" t="s">
        <v>41</v>
      </c>
      <c r="H3" s="7" t="s">
        <v>4</v>
      </c>
      <c r="I3" s="7" t="s">
        <v>37</v>
      </c>
    </row>
    <row r="4" spans="1:9" x14ac:dyDescent="0.3">
      <c r="A4" s="6" t="s">
        <v>266</v>
      </c>
      <c r="B4" s="6" t="s">
        <v>7</v>
      </c>
      <c r="C4" s="6" t="s">
        <v>42</v>
      </c>
      <c r="D4" s="6" t="s">
        <v>33</v>
      </c>
      <c r="E4" s="6" t="s">
        <v>43</v>
      </c>
      <c r="F4" s="6" t="s">
        <v>44</v>
      </c>
      <c r="G4" s="6" t="s">
        <v>45</v>
      </c>
      <c r="H4" s="6" t="s">
        <v>4</v>
      </c>
      <c r="I4" s="6" t="s">
        <v>46</v>
      </c>
    </row>
    <row r="5" spans="1:9" x14ac:dyDescent="0.3">
      <c r="A5" s="7" t="s">
        <v>267</v>
      </c>
      <c r="B5" s="7" t="s">
        <v>7</v>
      </c>
      <c r="C5" s="7" t="s">
        <v>47</v>
      </c>
      <c r="D5" s="7" t="s">
        <v>33</v>
      </c>
      <c r="E5" s="7" t="s">
        <v>48</v>
      </c>
      <c r="F5" s="7" t="s">
        <v>49</v>
      </c>
      <c r="G5" s="7" t="s">
        <v>50</v>
      </c>
      <c r="H5" s="7" t="s">
        <v>4</v>
      </c>
      <c r="I5" s="7" t="s">
        <v>37</v>
      </c>
    </row>
    <row r="6" spans="1:9" x14ac:dyDescent="0.3">
      <c r="A6" s="6" t="s">
        <v>268</v>
      </c>
      <c r="B6" s="6" t="s">
        <v>7</v>
      </c>
      <c r="C6" s="6" t="s">
        <v>51</v>
      </c>
      <c r="D6" s="6" t="s">
        <v>33</v>
      </c>
      <c r="E6" s="6" t="s">
        <v>52</v>
      </c>
      <c r="F6" s="6" t="s">
        <v>53</v>
      </c>
      <c r="G6" s="6" t="s">
        <v>54</v>
      </c>
      <c r="H6" s="6" t="s">
        <v>4</v>
      </c>
      <c r="I6" s="6" t="s">
        <v>37</v>
      </c>
    </row>
    <row r="7" spans="1:9" x14ac:dyDescent="0.3">
      <c r="A7" s="7" t="s">
        <v>269</v>
      </c>
      <c r="B7" s="7" t="s">
        <v>7</v>
      </c>
      <c r="C7" s="7" t="s">
        <v>55</v>
      </c>
      <c r="D7" s="7" t="s">
        <v>56</v>
      </c>
      <c r="E7" s="7" t="s">
        <v>57</v>
      </c>
      <c r="F7" s="7" t="s">
        <v>58</v>
      </c>
      <c r="G7" s="7" t="s">
        <v>59</v>
      </c>
      <c r="H7" s="7" t="s">
        <v>4</v>
      </c>
      <c r="I7" s="7" t="s">
        <v>37</v>
      </c>
    </row>
    <row r="8" spans="1:9" x14ac:dyDescent="0.3">
      <c r="A8" s="6" t="s">
        <v>270</v>
      </c>
      <c r="B8" s="6" t="s">
        <v>7</v>
      </c>
      <c r="C8" s="6" t="s">
        <v>60</v>
      </c>
      <c r="D8" s="6" t="s">
        <v>33</v>
      </c>
      <c r="E8" s="6" t="s">
        <v>61</v>
      </c>
      <c r="F8" s="6" t="s">
        <v>62</v>
      </c>
      <c r="G8" s="6" t="s">
        <v>50</v>
      </c>
      <c r="H8" s="6" t="s">
        <v>4</v>
      </c>
      <c r="I8" s="6" t="s">
        <v>37</v>
      </c>
    </row>
    <row r="9" spans="1:9" x14ac:dyDescent="0.3">
      <c r="A9" s="7" t="s">
        <v>271</v>
      </c>
      <c r="B9" s="7" t="s">
        <v>7</v>
      </c>
      <c r="C9" s="7" t="s">
        <v>63</v>
      </c>
      <c r="D9" s="7" t="s">
        <v>33</v>
      </c>
      <c r="E9" s="7" t="s">
        <v>64</v>
      </c>
      <c r="F9" s="7" t="s">
        <v>65</v>
      </c>
      <c r="G9" s="7" t="s">
        <v>66</v>
      </c>
      <c r="H9" s="7" t="s">
        <v>4</v>
      </c>
      <c r="I9" s="7" t="s">
        <v>46</v>
      </c>
    </row>
    <row r="10" spans="1:9" ht="28.8" x14ac:dyDescent="0.3">
      <c r="A10" s="6" t="s">
        <v>272</v>
      </c>
      <c r="B10" s="6" t="s">
        <v>7</v>
      </c>
      <c r="C10" s="6" t="s">
        <v>67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5</v>
      </c>
      <c r="I10" s="6" t="s">
        <v>46</v>
      </c>
    </row>
    <row r="11" spans="1:9" x14ac:dyDescent="0.3">
      <c r="A11" s="7" t="s">
        <v>273</v>
      </c>
      <c r="B11" s="7" t="s">
        <v>8</v>
      </c>
      <c r="C11" s="7" t="s">
        <v>72</v>
      </c>
      <c r="D11" s="7" t="s">
        <v>73</v>
      </c>
      <c r="E11" s="7" t="s">
        <v>74</v>
      </c>
      <c r="F11" s="7" t="s">
        <v>75</v>
      </c>
      <c r="G11" s="7" t="s">
        <v>76</v>
      </c>
      <c r="H11" s="7" t="s">
        <v>3</v>
      </c>
      <c r="I11" s="7" t="s">
        <v>18</v>
      </c>
    </row>
    <row r="12" spans="1:9" x14ac:dyDescent="0.3">
      <c r="A12" s="6" t="s">
        <v>274</v>
      </c>
      <c r="B12" s="6" t="s">
        <v>8</v>
      </c>
      <c r="C12" s="6" t="s">
        <v>77</v>
      </c>
      <c r="D12" s="6" t="s">
        <v>73</v>
      </c>
      <c r="E12" s="6" t="s">
        <v>78</v>
      </c>
      <c r="F12" s="6" t="s">
        <v>79</v>
      </c>
      <c r="G12" s="6" t="s">
        <v>80</v>
      </c>
      <c r="H12" s="6" t="s">
        <v>4</v>
      </c>
      <c r="I12" s="6" t="s">
        <v>37</v>
      </c>
    </row>
    <row r="13" spans="1:9" x14ac:dyDescent="0.3">
      <c r="A13" s="7" t="s">
        <v>275</v>
      </c>
      <c r="B13" s="7" t="s">
        <v>8</v>
      </c>
      <c r="C13" s="7" t="s">
        <v>81</v>
      </c>
      <c r="D13" s="7" t="s">
        <v>82</v>
      </c>
      <c r="E13" s="7" t="s">
        <v>83</v>
      </c>
      <c r="F13" s="7" t="s">
        <v>84</v>
      </c>
      <c r="G13" s="7" t="s">
        <v>85</v>
      </c>
      <c r="H13" s="7" t="s">
        <v>4</v>
      </c>
      <c r="I13" s="7" t="s">
        <v>37</v>
      </c>
    </row>
    <row r="14" spans="1:9" x14ac:dyDescent="0.3">
      <c r="A14" s="6" t="s">
        <v>276</v>
      </c>
      <c r="B14" s="6" t="s">
        <v>8</v>
      </c>
      <c r="C14" s="6" t="s">
        <v>47</v>
      </c>
      <c r="D14" s="6" t="s">
        <v>86</v>
      </c>
      <c r="E14" s="6" t="s">
        <v>87</v>
      </c>
      <c r="F14" s="6" t="s">
        <v>49</v>
      </c>
      <c r="G14" s="6" t="s">
        <v>88</v>
      </c>
      <c r="H14" s="6" t="s">
        <v>4</v>
      </c>
      <c r="I14" s="6" t="s">
        <v>37</v>
      </c>
    </row>
    <row r="15" spans="1:9" x14ac:dyDescent="0.3">
      <c r="A15" s="7" t="s">
        <v>277</v>
      </c>
      <c r="B15" s="7" t="s">
        <v>8</v>
      </c>
      <c r="C15" s="7" t="s">
        <v>51</v>
      </c>
      <c r="D15" s="7" t="s">
        <v>86</v>
      </c>
      <c r="E15" s="7" t="s">
        <v>89</v>
      </c>
      <c r="F15" s="7" t="s">
        <v>53</v>
      </c>
      <c r="G15" s="7" t="s">
        <v>90</v>
      </c>
      <c r="H15" s="7" t="s">
        <v>4</v>
      </c>
      <c r="I15" s="7" t="s">
        <v>37</v>
      </c>
    </row>
    <row r="16" spans="1:9" x14ac:dyDescent="0.3">
      <c r="A16" s="6" t="s">
        <v>278</v>
      </c>
      <c r="B16" s="6" t="s">
        <v>8</v>
      </c>
      <c r="C16" s="6" t="s">
        <v>91</v>
      </c>
      <c r="D16" s="6" t="s">
        <v>86</v>
      </c>
      <c r="E16" s="6" t="s">
        <v>92</v>
      </c>
      <c r="F16" s="6" t="s">
        <v>40</v>
      </c>
      <c r="G16" s="6" t="s">
        <v>93</v>
      </c>
      <c r="H16" s="6" t="s">
        <v>4</v>
      </c>
      <c r="I16" s="6" t="s">
        <v>37</v>
      </c>
    </row>
    <row r="17" spans="1:9" x14ac:dyDescent="0.3">
      <c r="A17" s="7" t="s">
        <v>279</v>
      </c>
      <c r="B17" s="7" t="s">
        <v>8</v>
      </c>
      <c r="C17" s="7" t="s">
        <v>94</v>
      </c>
      <c r="D17" s="7" t="s">
        <v>86</v>
      </c>
      <c r="E17" s="7" t="s">
        <v>95</v>
      </c>
      <c r="F17" s="7" t="s">
        <v>62</v>
      </c>
      <c r="G17" s="7" t="s">
        <v>96</v>
      </c>
      <c r="H17" s="7" t="s">
        <v>4</v>
      </c>
      <c r="I17" s="7" t="s">
        <v>46</v>
      </c>
    </row>
    <row r="18" spans="1:9" x14ac:dyDescent="0.3">
      <c r="A18" s="6" t="s">
        <v>280</v>
      </c>
      <c r="B18" s="6" t="s">
        <v>8</v>
      </c>
      <c r="C18" s="6" t="s">
        <v>97</v>
      </c>
      <c r="D18" s="6" t="s">
        <v>98</v>
      </c>
      <c r="E18" s="6" t="s">
        <v>99</v>
      </c>
      <c r="F18" s="6" t="s">
        <v>100</v>
      </c>
      <c r="G18" s="6" t="s">
        <v>101</v>
      </c>
      <c r="H18" s="6" t="s">
        <v>4</v>
      </c>
      <c r="I18" s="6" t="s">
        <v>18</v>
      </c>
    </row>
    <row r="19" spans="1:9" ht="28.8" x14ac:dyDescent="0.3">
      <c r="A19" s="7" t="s">
        <v>281</v>
      </c>
      <c r="B19" s="7" t="s">
        <v>8</v>
      </c>
      <c r="C19" s="7" t="s">
        <v>102</v>
      </c>
      <c r="D19" s="7" t="s">
        <v>103</v>
      </c>
      <c r="E19" s="7" t="s">
        <v>104</v>
      </c>
      <c r="F19" s="7" t="s">
        <v>105</v>
      </c>
      <c r="G19" s="7" t="s">
        <v>106</v>
      </c>
      <c r="H19" s="7" t="s">
        <v>4</v>
      </c>
      <c r="I19" s="7" t="s">
        <v>37</v>
      </c>
    </row>
    <row r="20" spans="1:9" x14ac:dyDescent="0.3">
      <c r="A20" s="6" t="s">
        <v>282</v>
      </c>
      <c r="B20" s="6" t="s">
        <v>9</v>
      </c>
      <c r="C20" s="6" t="s">
        <v>107</v>
      </c>
      <c r="D20" s="6" t="s">
        <v>108</v>
      </c>
      <c r="E20" s="6" t="s">
        <v>109</v>
      </c>
      <c r="F20" s="6" t="s">
        <v>110</v>
      </c>
      <c r="G20" s="6" t="s">
        <v>111</v>
      </c>
      <c r="H20" s="6" t="s">
        <v>3</v>
      </c>
      <c r="I20" s="6" t="s">
        <v>18</v>
      </c>
    </row>
    <row r="21" spans="1:9" x14ac:dyDescent="0.3">
      <c r="A21" s="7" t="s">
        <v>283</v>
      </c>
      <c r="B21" s="7" t="s">
        <v>9</v>
      </c>
      <c r="C21" s="7" t="s">
        <v>112</v>
      </c>
      <c r="D21" s="7" t="s">
        <v>108</v>
      </c>
      <c r="E21" s="7" t="s">
        <v>113</v>
      </c>
      <c r="F21" s="7" t="s">
        <v>114</v>
      </c>
      <c r="G21" s="7" t="s">
        <v>115</v>
      </c>
      <c r="H21" s="7" t="s">
        <v>4</v>
      </c>
      <c r="I21" s="7" t="s">
        <v>37</v>
      </c>
    </row>
    <row r="22" spans="1:9" ht="28.8" x14ac:dyDescent="0.3">
      <c r="A22" s="6" t="s">
        <v>284</v>
      </c>
      <c r="B22" s="6" t="s">
        <v>9</v>
      </c>
      <c r="C22" s="6" t="s">
        <v>116</v>
      </c>
      <c r="D22" s="6" t="s">
        <v>108</v>
      </c>
      <c r="E22" s="6" t="s">
        <v>117</v>
      </c>
      <c r="F22" s="6" t="s">
        <v>65</v>
      </c>
      <c r="G22" s="6" t="s">
        <v>118</v>
      </c>
      <c r="H22" s="6" t="s">
        <v>4</v>
      </c>
      <c r="I22" s="6" t="s">
        <v>46</v>
      </c>
    </row>
    <row r="23" spans="1:9" x14ac:dyDescent="0.3">
      <c r="A23" s="7" t="s">
        <v>285</v>
      </c>
      <c r="B23" s="7" t="s">
        <v>9</v>
      </c>
      <c r="C23" s="7" t="s">
        <v>119</v>
      </c>
      <c r="D23" s="7" t="s">
        <v>108</v>
      </c>
      <c r="E23" s="7" t="s">
        <v>120</v>
      </c>
      <c r="F23" s="7" t="s">
        <v>121</v>
      </c>
      <c r="G23" s="7" t="s">
        <v>122</v>
      </c>
      <c r="H23" s="7" t="s">
        <v>5</v>
      </c>
      <c r="I23" s="7" t="s">
        <v>46</v>
      </c>
    </row>
    <row r="24" spans="1:9" x14ac:dyDescent="0.3">
      <c r="A24" s="6" t="s">
        <v>286</v>
      </c>
      <c r="B24" s="6" t="s">
        <v>9</v>
      </c>
      <c r="C24" s="6" t="s">
        <v>123</v>
      </c>
      <c r="D24" s="6" t="s">
        <v>108</v>
      </c>
      <c r="E24" s="6" t="s">
        <v>124</v>
      </c>
      <c r="F24" s="6" t="s">
        <v>125</v>
      </c>
      <c r="G24" s="6" t="s">
        <v>126</v>
      </c>
      <c r="H24" s="6" t="s">
        <v>3</v>
      </c>
      <c r="I24" s="6" t="s">
        <v>37</v>
      </c>
    </row>
    <row r="25" spans="1:9" x14ac:dyDescent="0.3">
      <c r="A25" s="7" t="s">
        <v>287</v>
      </c>
      <c r="B25" s="7" t="s">
        <v>9</v>
      </c>
      <c r="C25" s="7" t="s">
        <v>127</v>
      </c>
      <c r="D25" s="7" t="s">
        <v>128</v>
      </c>
      <c r="E25" s="7" t="s">
        <v>129</v>
      </c>
      <c r="F25" s="7" t="s">
        <v>130</v>
      </c>
      <c r="G25" s="7" t="s">
        <v>131</v>
      </c>
      <c r="H25" s="7" t="s">
        <v>3</v>
      </c>
      <c r="I25" s="7" t="s">
        <v>37</v>
      </c>
    </row>
    <row r="26" spans="1:9" x14ac:dyDescent="0.3">
      <c r="A26" s="6" t="s">
        <v>288</v>
      </c>
      <c r="B26" s="6" t="s">
        <v>10</v>
      </c>
      <c r="C26" s="6" t="s">
        <v>132</v>
      </c>
      <c r="D26" s="6" t="s">
        <v>133</v>
      </c>
      <c r="E26" s="6" t="s">
        <v>134</v>
      </c>
      <c r="F26" s="6" t="s">
        <v>135</v>
      </c>
      <c r="G26" s="6" t="s">
        <v>136</v>
      </c>
      <c r="H26" s="6" t="s">
        <v>3</v>
      </c>
      <c r="I26" s="6" t="s">
        <v>18</v>
      </c>
    </row>
    <row r="27" spans="1:9" x14ac:dyDescent="0.3">
      <c r="A27" s="7" t="s">
        <v>289</v>
      </c>
      <c r="B27" s="7" t="s">
        <v>10</v>
      </c>
      <c r="C27" s="7" t="s">
        <v>137</v>
      </c>
      <c r="D27" s="7" t="s">
        <v>138</v>
      </c>
      <c r="E27" s="7" t="s">
        <v>134</v>
      </c>
      <c r="F27" s="7" t="s">
        <v>139</v>
      </c>
      <c r="G27" s="7" t="s">
        <v>140</v>
      </c>
      <c r="H27" s="7" t="s">
        <v>5</v>
      </c>
      <c r="I27" s="7" t="s">
        <v>46</v>
      </c>
    </row>
    <row r="28" spans="1:9" ht="28.8" x14ac:dyDescent="0.3">
      <c r="A28" s="6" t="s">
        <v>290</v>
      </c>
      <c r="B28" s="6" t="s">
        <v>10</v>
      </c>
      <c r="C28" s="6" t="s">
        <v>141</v>
      </c>
      <c r="D28" s="6" t="s">
        <v>142</v>
      </c>
      <c r="E28" s="6" t="s">
        <v>134</v>
      </c>
      <c r="F28" s="6" t="s">
        <v>143</v>
      </c>
      <c r="G28" s="6" t="s">
        <v>144</v>
      </c>
      <c r="H28" s="6" t="s">
        <v>3</v>
      </c>
      <c r="I28" s="6" t="s">
        <v>37</v>
      </c>
    </row>
    <row r="29" spans="1:9" x14ac:dyDescent="0.3">
      <c r="A29" s="7" t="s">
        <v>291</v>
      </c>
      <c r="B29" s="7" t="s">
        <v>10</v>
      </c>
      <c r="C29" s="7" t="s">
        <v>145</v>
      </c>
      <c r="D29" s="7" t="s">
        <v>146</v>
      </c>
      <c r="E29" s="7" t="s">
        <v>147</v>
      </c>
      <c r="F29" s="7" t="s">
        <v>148</v>
      </c>
      <c r="G29" s="7" t="s">
        <v>149</v>
      </c>
      <c r="H29" s="7" t="s">
        <v>4</v>
      </c>
      <c r="I29" s="7" t="s">
        <v>18</v>
      </c>
    </row>
    <row r="30" spans="1:9" ht="28.8" x14ac:dyDescent="0.3">
      <c r="A30" s="6" t="s">
        <v>292</v>
      </c>
      <c r="B30" s="6" t="s">
        <v>10</v>
      </c>
      <c r="C30" s="6" t="s">
        <v>150</v>
      </c>
      <c r="D30" s="6" t="s">
        <v>151</v>
      </c>
      <c r="E30" s="6" t="s">
        <v>152</v>
      </c>
      <c r="F30" s="6" t="s">
        <v>153</v>
      </c>
      <c r="G30" s="6" t="s">
        <v>154</v>
      </c>
      <c r="H30" s="6" t="s">
        <v>4</v>
      </c>
      <c r="I30" s="6" t="s">
        <v>19</v>
      </c>
    </row>
    <row r="31" spans="1:9" x14ac:dyDescent="0.3">
      <c r="A31" s="7" t="s">
        <v>293</v>
      </c>
      <c r="B31" s="7" t="s">
        <v>11</v>
      </c>
      <c r="C31" s="7" t="s">
        <v>155</v>
      </c>
      <c r="D31" s="7" t="s">
        <v>156</v>
      </c>
      <c r="E31" s="7" t="s">
        <v>157</v>
      </c>
      <c r="F31" s="7" t="s">
        <v>158</v>
      </c>
      <c r="G31" s="7" t="s">
        <v>159</v>
      </c>
      <c r="H31" s="7" t="s">
        <v>3</v>
      </c>
      <c r="I31" s="7" t="s">
        <v>18</v>
      </c>
    </row>
    <row r="32" spans="1:9" x14ac:dyDescent="0.3">
      <c r="A32" s="6" t="s">
        <v>294</v>
      </c>
      <c r="B32" s="6" t="s">
        <v>11</v>
      </c>
      <c r="C32" s="6" t="s">
        <v>160</v>
      </c>
      <c r="D32" s="6" t="s">
        <v>161</v>
      </c>
      <c r="E32" s="6" t="s">
        <v>162</v>
      </c>
      <c r="F32" s="6" t="s">
        <v>163</v>
      </c>
      <c r="G32" s="6" t="s">
        <v>164</v>
      </c>
      <c r="H32" s="6" t="s">
        <v>3</v>
      </c>
      <c r="I32" s="6" t="s">
        <v>37</v>
      </c>
    </row>
    <row r="33" spans="1:9" x14ac:dyDescent="0.3">
      <c r="A33" s="7" t="s">
        <v>295</v>
      </c>
      <c r="B33" s="7" t="s">
        <v>11</v>
      </c>
      <c r="C33" s="7" t="s">
        <v>165</v>
      </c>
      <c r="D33" s="7" t="s">
        <v>166</v>
      </c>
      <c r="E33" s="7" t="s">
        <v>167</v>
      </c>
      <c r="F33" s="7" t="s">
        <v>114</v>
      </c>
      <c r="G33" s="7" t="s">
        <v>168</v>
      </c>
      <c r="H33" s="7" t="s">
        <v>4</v>
      </c>
      <c r="I33" s="7" t="s">
        <v>37</v>
      </c>
    </row>
    <row r="34" spans="1:9" x14ac:dyDescent="0.3">
      <c r="A34" s="6" t="s">
        <v>296</v>
      </c>
      <c r="B34" s="6" t="s">
        <v>11</v>
      </c>
      <c r="C34" s="6" t="s">
        <v>169</v>
      </c>
      <c r="D34" s="6" t="s">
        <v>166</v>
      </c>
      <c r="E34" s="6" t="s">
        <v>170</v>
      </c>
      <c r="F34" s="6" t="s">
        <v>171</v>
      </c>
      <c r="G34" s="6" t="s">
        <v>172</v>
      </c>
      <c r="H34" s="6" t="s">
        <v>3</v>
      </c>
      <c r="I34" s="6" t="s">
        <v>46</v>
      </c>
    </row>
    <row r="35" spans="1:9" x14ac:dyDescent="0.3">
      <c r="A35" s="7" t="s">
        <v>297</v>
      </c>
      <c r="B35" s="7" t="s">
        <v>11</v>
      </c>
      <c r="C35" s="7" t="s">
        <v>173</v>
      </c>
      <c r="D35" s="7" t="s">
        <v>146</v>
      </c>
      <c r="E35" s="7" t="s">
        <v>174</v>
      </c>
      <c r="F35" s="7" t="s">
        <v>148</v>
      </c>
      <c r="G35" s="7" t="s">
        <v>175</v>
      </c>
      <c r="H35" s="7" t="s">
        <v>4</v>
      </c>
      <c r="I35" s="7" t="s">
        <v>18</v>
      </c>
    </row>
    <row r="36" spans="1:9" x14ac:dyDescent="0.3">
      <c r="A36" s="6" t="s">
        <v>298</v>
      </c>
      <c r="B36" s="6" t="s">
        <v>12</v>
      </c>
      <c r="C36" s="6" t="s">
        <v>176</v>
      </c>
      <c r="D36" s="6" t="s">
        <v>156</v>
      </c>
      <c r="E36" s="6" t="s">
        <v>177</v>
      </c>
      <c r="F36" s="6" t="s">
        <v>178</v>
      </c>
      <c r="G36" s="6" t="s">
        <v>179</v>
      </c>
      <c r="H36" s="6" t="s">
        <v>3</v>
      </c>
      <c r="I36" s="6" t="s">
        <v>18</v>
      </c>
    </row>
    <row r="37" spans="1:9" x14ac:dyDescent="0.3">
      <c r="A37" s="7" t="s">
        <v>299</v>
      </c>
      <c r="B37" s="7" t="s">
        <v>12</v>
      </c>
      <c r="C37" s="7" t="s">
        <v>180</v>
      </c>
      <c r="D37" s="7" t="s">
        <v>166</v>
      </c>
      <c r="E37" s="7" t="s">
        <v>181</v>
      </c>
      <c r="F37" s="7" t="s">
        <v>178</v>
      </c>
      <c r="G37" s="7" t="s">
        <v>182</v>
      </c>
      <c r="H37" s="7" t="s">
        <v>183</v>
      </c>
      <c r="I37" s="7" t="s">
        <v>46</v>
      </c>
    </row>
    <row r="38" spans="1:9" x14ac:dyDescent="0.3">
      <c r="A38" s="6" t="s">
        <v>300</v>
      </c>
      <c r="B38" s="6" t="s">
        <v>12</v>
      </c>
      <c r="C38" s="6" t="s">
        <v>184</v>
      </c>
      <c r="D38" s="6" t="s">
        <v>185</v>
      </c>
      <c r="E38" s="6" t="s">
        <v>162</v>
      </c>
      <c r="F38" s="6" t="s">
        <v>186</v>
      </c>
      <c r="G38" s="6" t="s">
        <v>187</v>
      </c>
      <c r="H38" s="6" t="s">
        <v>3</v>
      </c>
      <c r="I38" s="6" t="s">
        <v>37</v>
      </c>
    </row>
    <row r="39" spans="1:9" x14ac:dyDescent="0.3">
      <c r="A39" s="7" t="s">
        <v>301</v>
      </c>
      <c r="B39" s="7" t="s">
        <v>12</v>
      </c>
      <c r="C39" s="7" t="s">
        <v>188</v>
      </c>
      <c r="D39" s="7" t="s">
        <v>146</v>
      </c>
      <c r="E39" s="7" t="s">
        <v>189</v>
      </c>
      <c r="F39" s="7" t="s">
        <v>148</v>
      </c>
      <c r="G39" s="7" t="s">
        <v>190</v>
      </c>
      <c r="H39" s="7" t="s">
        <v>4</v>
      </c>
      <c r="I39" s="7" t="s">
        <v>18</v>
      </c>
    </row>
    <row r="40" spans="1:9" x14ac:dyDescent="0.3">
      <c r="A40" s="6" t="s">
        <v>302</v>
      </c>
      <c r="B40" s="6" t="s">
        <v>12</v>
      </c>
      <c r="C40" s="6" t="s">
        <v>191</v>
      </c>
      <c r="D40" s="6" t="s">
        <v>192</v>
      </c>
      <c r="E40" s="6" t="s">
        <v>193</v>
      </c>
      <c r="F40" s="6" t="s">
        <v>194</v>
      </c>
      <c r="G40" s="6" t="s">
        <v>195</v>
      </c>
      <c r="H40" s="6" t="s">
        <v>5</v>
      </c>
      <c r="I40" s="6" t="s">
        <v>46</v>
      </c>
    </row>
    <row r="41" spans="1:9" x14ac:dyDescent="0.3">
      <c r="A41" s="7" t="s">
        <v>303</v>
      </c>
      <c r="B41" s="7" t="s">
        <v>13</v>
      </c>
      <c r="C41" s="7" t="s">
        <v>196</v>
      </c>
      <c r="D41" s="7" t="s">
        <v>197</v>
      </c>
      <c r="E41" s="7" t="s">
        <v>198</v>
      </c>
      <c r="F41" s="7" t="s">
        <v>199</v>
      </c>
      <c r="G41" s="7" t="s">
        <v>200</v>
      </c>
      <c r="H41" s="7" t="s">
        <v>4</v>
      </c>
      <c r="I41" s="7" t="s">
        <v>37</v>
      </c>
    </row>
    <row r="42" spans="1:9" x14ac:dyDescent="0.3">
      <c r="A42" s="6" t="s">
        <v>304</v>
      </c>
      <c r="B42" s="6" t="s">
        <v>13</v>
      </c>
      <c r="C42" s="6" t="s">
        <v>201</v>
      </c>
      <c r="D42" s="6" t="s">
        <v>197</v>
      </c>
      <c r="E42" s="6" t="s">
        <v>202</v>
      </c>
      <c r="F42" s="6" t="s">
        <v>65</v>
      </c>
      <c r="G42" s="6" t="s">
        <v>203</v>
      </c>
      <c r="H42" s="6" t="s">
        <v>4</v>
      </c>
      <c r="I42" s="6" t="s">
        <v>46</v>
      </c>
    </row>
    <row r="43" spans="1:9" x14ac:dyDescent="0.3">
      <c r="A43" s="7" t="s">
        <v>305</v>
      </c>
      <c r="B43" s="7" t="s">
        <v>13</v>
      </c>
      <c r="C43" s="7" t="s">
        <v>204</v>
      </c>
      <c r="D43" s="7" t="s">
        <v>197</v>
      </c>
      <c r="E43" s="7" t="s">
        <v>205</v>
      </c>
      <c r="F43" s="7" t="s">
        <v>206</v>
      </c>
      <c r="G43" s="7" t="s">
        <v>207</v>
      </c>
      <c r="H43" s="7" t="s">
        <v>5</v>
      </c>
      <c r="I43" s="7" t="s">
        <v>46</v>
      </c>
    </row>
    <row r="44" spans="1:9" x14ac:dyDescent="0.3">
      <c r="A44" s="6" t="s">
        <v>306</v>
      </c>
      <c r="B44" s="6" t="s">
        <v>13</v>
      </c>
      <c r="C44" s="6" t="s">
        <v>208</v>
      </c>
      <c r="D44" s="6" t="s">
        <v>209</v>
      </c>
      <c r="E44" s="6" t="s">
        <v>210</v>
      </c>
      <c r="F44" s="6" t="s">
        <v>211</v>
      </c>
      <c r="G44" s="6" t="s">
        <v>212</v>
      </c>
      <c r="H44" s="6" t="s">
        <v>4</v>
      </c>
      <c r="I44" s="6" t="s">
        <v>37</v>
      </c>
    </row>
    <row r="45" spans="1:9" ht="28.8" x14ac:dyDescent="0.3">
      <c r="A45" s="7" t="s">
        <v>307</v>
      </c>
      <c r="B45" s="7" t="s">
        <v>13</v>
      </c>
      <c r="C45" s="7" t="s">
        <v>213</v>
      </c>
      <c r="D45" s="7" t="s">
        <v>151</v>
      </c>
      <c r="E45" s="7" t="s">
        <v>214</v>
      </c>
      <c r="F45" s="7" t="s">
        <v>153</v>
      </c>
      <c r="G45" s="7" t="s">
        <v>215</v>
      </c>
      <c r="H45" s="7" t="s">
        <v>4</v>
      </c>
      <c r="I45" s="7" t="s">
        <v>18</v>
      </c>
    </row>
    <row r="46" spans="1:9" x14ac:dyDescent="0.3">
      <c r="A46" s="6" t="s">
        <v>308</v>
      </c>
      <c r="B46" s="6" t="s">
        <v>13</v>
      </c>
      <c r="C46" s="6" t="s">
        <v>216</v>
      </c>
      <c r="D46" s="6" t="s">
        <v>217</v>
      </c>
      <c r="E46" s="6" t="s">
        <v>218</v>
      </c>
      <c r="F46" s="6" t="s">
        <v>219</v>
      </c>
      <c r="G46" s="6" t="s">
        <v>220</v>
      </c>
      <c r="H46" s="6" t="s">
        <v>4</v>
      </c>
      <c r="I46" s="6" t="s">
        <v>18</v>
      </c>
    </row>
  </sheetData>
  <autoFilter ref="A1:I46" xr:uid="{00000000-0009-0000-0000-000001000000}"/>
  <conditionalFormatting sqref="H2:H46">
    <cfRule type="expression" dxfId="6" priority="1">
      <formula>H2="Positive"</formula>
    </cfRule>
    <cfRule type="expression" dxfId="5" priority="2">
      <formula>H2="Negative"</formula>
    </cfRule>
    <cfRule type="expression" dxfId="4" priority="3">
      <formula>H2="Edge"</formula>
    </cfRule>
  </conditionalFormatting>
  <conditionalFormatting sqref="I2:I46">
    <cfRule type="expression" dxfId="3" priority="4">
      <formula>I2="Critical"</formula>
    </cfRule>
    <cfRule type="expression" dxfId="2" priority="5">
      <formula>I2="High"</formula>
    </cfRule>
  </conditionalFormatting>
  <dataValidations count="2">
    <dataValidation type="list" allowBlank="1" sqref="H2:H46" xr:uid="{00000000-0002-0000-0100-000000000000}">
      <formula1>"Positive,Negative,Edge,Negative/Edge"</formula1>
    </dataValidation>
    <dataValidation type="list" allowBlank="1" sqref="I2:I46" xr:uid="{00000000-0002-0000-0100-000001000000}">
      <formula1>"Critical,High,Medium,Low,Major,Minor"</formula1>
    </dataValidation>
  </dataValidation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18" customWidth="1"/>
    <col min="2" max="2" width="24" customWidth="1"/>
    <col min="3" max="3" width="55" customWidth="1"/>
    <col min="4" max="4" width="14" customWidth="1"/>
    <col min="5" max="5" width="70" customWidth="1"/>
  </cols>
  <sheetData>
    <row r="1" spans="1:5" x14ac:dyDescent="0.3">
      <c r="A1" s="5" t="s">
        <v>221</v>
      </c>
      <c r="B1" s="5" t="s">
        <v>222</v>
      </c>
      <c r="C1" s="5" t="s">
        <v>223</v>
      </c>
      <c r="D1" s="5" t="s">
        <v>16</v>
      </c>
      <c r="E1" s="5" t="s">
        <v>224</v>
      </c>
    </row>
    <row r="2" spans="1:5" ht="28.8" x14ac:dyDescent="0.3">
      <c r="A2" s="7" t="s">
        <v>254</v>
      </c>
      <c r="B2" s="7" t="s">
        <v>225</v>
      </c>
      <c r="C2" s="7" t="s">
        <v>226</v>
      </c>
      <c r="D2" s="7" t="s">
        <v>18</v>
      </c>
      <c r="E2" s="7" t="s">
        <v>227</v>
      </c>
    </row>
    <row r="3" spans="1:5" ht="28.8" x14ac:dyDescent="0.3">
      <c r="A3" s="7" t="s">
        <v>255</v>
      </c>
      <c r="B3" s="7" t="s">
        <v>225</v>
      </c>
      <c r="C3" s="7" t="s">
        <v>228</v>
      </c>
      <c r="D3" s="7" t="s">
        <v>18</v>
      </c>
      <c r="E3" s="7" t="s">
        <v>229</v>
      </c>
    </row>
    <row r="4" spans="1:5" x14ac:dyDescent="0.3">
      <c r="A4" s="7" t="s">
        <v>256</v>
      </c>
      <c r="B4" s="7" t="s">
        <v>225</v>
      </c>
      <c r="C4" s="7" t="s">
        <v>230</v>
      </c>
      <c r="D4" s="7" t="s">
        <v>18</v>
      </c>
      <c r="E4" s="7" t="s">
        <v>231</v>
      </c>
    </row>
    <row r="5" spans="1:5" ht="28.8" x14ac:dyDescent="0.3">
      <c r="A5" s="7" t="s">
        <v>257</v>
      </c>
      <c r="B5" s="7" t="s">
        <v>232</v>
      </c>
      <c r="C5" s="7" t="s">
        <v>233</v>
      </c>
      <c r="D5" s="7" t="s">
        <v>18</v>
      </c>
      <c r="E5" s="7" t="s">
        <v>234</v>
      </c>
    </row>
    <row r="6" spans="1:5" ht="28.8" x14ac:dyDescent="0.3">
      <c r="A6" s="7" t="s">
        <v>258</v>
      </c>
      <c r="B6" s="7" t="s">
        <v>235</v>
      </c>
      <c r="C6" s="7" t="s">
        <v>236</v>
      </c>
      <c r="D6" s="7" t="s">
        <v>19</v>
      </c>
      <c r="E6" s="7" t="s">
        <v>237</v>
      </c>
    </row>
    <row r="7" spans="1:5" ht="28.8" x14ac:dyDescent="0.3">
      <c r="A7" s="7" t="s">
        <v>259</v>
      </c>
      <c r="B7" s="7" t="s">
        <v>235</v>
      </c>
      <c r="C7" s="7" t="s">
        <v>238</v>
      </c>
      <c r="D7" s="7" t="s">
        <v>19</v>
      </c>
      <c r="E7" s="7" t="s">
        <v>239</v>
      </c>
    </row>
    <row r="8" spans="1:5" ht="28.8" x14ac:dyDescent="0.3">
      <c r="A8" s="7" t="s">
        <v>260</v>
      </c>
      <c r="B8" s="7" t="s">
        <v>240</v>
      </c>
      <c r="C8" s="7" t="s">
        <v>241</v>
      </c>
      <c r="D8" s="7" t="s">
        <v>19</v>
      </c>
      <c r="E8" s="7" t="s">
        <v>242</v>
      </c>
    </row>
    <row r="9" spans="1:5" ht="28.8" x14ac:dyDescent="0.3">
      <c r="A9" s="7" t="s">
        <v>261</v>
      </c>
      <c r="B9" s="7" t="s">
        <v>243</v>
      </c>
      <c r="C9" s="7" t="s">
        <v>244</v>
      </c>
      <c r="D9" s="7" t="s">
        <v>19</v>
      </c>
      <c r="E9" s="7" t="s">
        <v>245</v>
      </c>
    </row>
    <row r="10" spans="1:5" ht="28.8" x14ac:dyDescent="0.3">
      <c r="A10" s="7" t="s">
        <v>262</v>
      </c>
      <c r="B10" s="7" t="s">
        <v>246</v>
      </c>
      <c r="C10" s="7" t="s">
        <v>247</v>
      </c>
      <c r="D10" s="7" t="s">
        <v>19</v>
      </c>
      <c r="E10" s="7" t="s">
        <v>248</v>
      </c>
    </row>
    <row r="11" spans="1:5" ht="28.8" x14ac:dyDescent="0.3">
      <c r="A11" s="7" t="s">
        <v>263</v>
      </c>
      <c r="B11" s="7" t="s">
        <v>249</v>
      </c>
      <c r="C11" s="7" t="s">
        <v>250</v>
      </c>
      <c r="D11" s="7" t="s">
        <v>20</v>
      </c>
      <c r="E11" s="7" t="s">
        <v>251</v>
      </c>
    </row>
  </sheetData>
  <autoFilter ref="A1:E11" xr:uid="{00000000-0009-0000-0000-000002000000}"/>
  <conditionalFormatting sqref="D2:D11">
    <cfRule type="expression" dxfId="1" priority="1">
      <formula>D2="Critical"</formula>
    </cfRule>
    <cfRule type="expression" dxfId="0" priority="2">
      <formula>D2="Major"</formula>
    </cfRule>
  </conditionalFormatting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Bug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Shlok Rajvanshi</cp:lastModifiedBy>
  <dcterms:created xsi:type="dcterms:W3CDTF">2026-09-11T08:10:40Z</dcterms:created>
  <dcterms:modified xsi:type="dcterms:W3CDTF">2026-09-11T08:34:55Z</dcterms:modified>
</cp:coreProperties>
</file>